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<sst xmlns="http://schemas.openxmlformats.org/spreadsheetml/2006/main" count="44" uniqueCount="31">
  <si>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Trường mn Văn Lang</t>
  </si>
  <si>
    <t>THEO DÕI BÁO ĂN CÁN BỘ, GIÁO VIÊN, NHÂN VIÊN</t>
  </si>
  <si>
    <t>Tháng:</t>
  </si>
  <si>
    <t>Năm:</t>
  </si>
  <si>
    <t>Stt</t>
  </si>
  <si>
    <t>Họ và tên</t>
  </si>
  <si>
    <t>Chức vụ</t>
  </si>
  <si>
    <t xml:space="preserve">Tổng suất </t>
  </si>
  <si>
    <t>Ký nhận</t>
  </si>
  <si>
    <t>Lê Thị Thuý Lập</t>
  </si>
  <si>
    <t>HT</t>
  </si>
  <si>
    <t>X</t>
  </si>
  <si>
    <t>Nguyễn Thị Bích Ngọc</t>
  </si>
  <si>
    <t>PHT</t>
  </si>
  <si>
    <t>Phạm Thu Anh</t>
  </si>
  <si>
    <t>Phạm Thị Ánh</t>
  </si>
  <si>
    <t>GV</t>
  </si>
  <si>
    <t>Chu Thị Xuân</t>
  </si>
  <si>
    <t>Phạm Thị Tuyên</t>
  </si>
  <si>
    <t>Hà Thu Hương</t>
  </si>
  <si>
    <t>Vũ Thị Hằng Nga</t>
  </si>
  <si>
    <t>Chu Thị Hường</t>
  </si>
  <si>
    <t>Nguyễn Thị Hồng Nhung</t>
  </si>
  <si>
    <t>Vy Thị Anh</t>
  </si>
  <si>
    <t>Nguyễn Thị Châm</t>
  </si>
  <si>
    <t>Đặng Thị Thu Hường</t>
  </si>
  <si>
    <t>Nguyễn Thị Bích Hạnh</t>
  </si>
  <si>
    <t>Phạm Quang Huy</t>
  </si>
  <si>
    <t>HS TH</t>
  </si>
  <si>
    <t>Phạm Thành Lâm</t>
  </si>
  <si>
    <t>Nguyễn Minh Tùng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</si>
</sst>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"/>
    <numFmt numFmtId="179" formatCode="\TGeneral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79" fontId="1" fillId="2" borderId="2" xfId="0" applyNumberFormat="1" applyFont="1" applyFill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0" xfId="0" applyFont="1" applyAlignment="1">
      <alignment horizontal="center"/>
    </xf>
    <xf numFmtId="179" fontId="1" fillId="3" borderId="2" xfId="0" applyNumberFormat="1" applyFont="1" applyFill="1" applyBorder="1"/>
    <xf numFmtId="179" fontId="1" fillId="0" borderId="2" xfId="0" applyNumberFormat="1" applyFont="1" applyBorder="1"/>
    <xf numFmtId="0" fontId="1" fillId="3" borderId="2" xfId="0" applyFont="1" applyFill="1" applyBorder="1"/>
    <xf numFmtId="0" fontId="2" fillId="0" borderId="2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3D4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tabSelected="1" zoomScale="76" zoomScaleNormal="76" workbookViewId="0">
      <selection activeCell="K8" sqref="K8"/>
    </sheetView>
  </sheetViews>
  <sheetFormatPr defaultColWidth="9" defaultRowHeight="15"/>
  <cols>
    <col min="1" max="1" width="5.42857142857143" style="2" customWidth="1"/>
    <col min="2" max="2" width="24.2857142857143" style="2" customWidth="1"/>
    <col min="3" max="3" width="9.14285714285714" style="3"/>
    <col min="4" max="4" width="4.57142857142857" style="2" customWidth="1"/>
    <col min="5" max="34" width="4.28571428571429" style="2" customWidth="1"/>
    <col min="35" max="35" width="6.14285714285714" style="2" customWidth="1"/>
    <col min="36" max="36" width="5.28571428571429" style="2" customWidth="1"/>
    <col min="37" max="16384" width="9.14285714285714" style="2"/>
  </cols>
  <sheetData>
    <row r="1" spans="1:2">
      <c r="A1" s="3" t="s">
        <v>0</v>
      </c>
      <c r="B1" s="3"/>
    </row>
    <row r="2" spans="3:37"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4" ht="14.25" customHeight="1" spans="1:10">
      <c r="A4" s="5"/>
      <c r="B4" s="5"/>
      <c r="C4" s="1"/>
      <c r="D4" s="2" t="s">
        <v>2</v>
      </c>
      <c r="F4" s="6">
        <v>9</v>
      </c>
      <c r="G4" s="7" t="s">
        <v>3</v>
      </c>
      <c r="H4" s="8"/>
      <c r="I4" s="18">
        <v>2025</v>
      </c>
      <c r="J4" s="18"/>
    </row>
    <row r="5" customFormat="1" ht="14.25" customHeight="1" spans="1:36">
      <c r="A5" s="5"/>
      <c r="B5" s="5"/>
      <c r="C5" s="1"/>
      <c r="D5" s="2"/>
      <c r="E5" s="2"/>
      <c r="F5" s="2"/>
      <c r="G5" s="2"/>
      <c r="H5" s="2"/>
      <c r="I5" s="18"/>
      <c r="J5" s="1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="1" customFormat="1" ht="30" customHeight="1" spans="1:36">
      <c r="A6" s="9" t="s">
        <v>4</v>
      </c>
      <c r="B6" s="9" t="s">
        <v>5</v>
      </c>
      <c r="C6" s="9" t="s">
        <v>6</v>
      </c>
      <c r="D6" s="10">
        <f>DATE(I4,F4,1)</f>
        <v>45901</v>
      </c>
      <c r="E6" s="10">
        <f>D6+1</f>
        <v>45902</v>
      </c>
      <c r="F6" s="10">
        <f t="shared" ref="F6:AH6" si="0">E6+1</f>
        <v>45903</v>
      </c>
      <c r="G6" s="10">
        <f t="shared" si="0"/>
        <v>45904</v>
      </c>
      <c r="H6" s="10">
        <f t="shared" si="0"/>
        <v>45905</v>
      </c>
      <c r="I6" s="10">
        <f t="shared" si="0"/>
        <v>45906</v>
      </c>
      <c r="J6" s="10">
        <f t="shared" si="0"/>
        <v>45907</v>
      </c>
      <c r="K6" s="10">
        <f t="shared" si="0"/>
        <v>45908</v>
      </c>
      <c r="L6" s="10">
        <f t="shared" si="0"/>
        <v>45909</v>
      </c>
      <c r="M6" s="10">
        <f t="shared" si="0"/>
        <v>45910</v>
      </c>
      <c r="N6" s="10">
        <f t="shared" si="0"/>
        <v>45911</v>
      </c>
      <c r="O6" s="10">
        <f t="shared" si="0"/>
        <v>45912</v>
      </c>
      <c r="P6" s="10">
        <f t="shared" si="0"/>
        <v>45913</v>
      </c>
      <c r="Q6" s="10">
        <f t="shared" si="0"/>
        <v>45914</v>
      </c>
      <c r="R6" s="10">
        <f t="shared" si="0"/>
        <v>45915</v>
      </c>
      <c r="S6" s="10">
        <f t="shared" si="0"/>
        <v>45916</v>
      </c>
      <c r="T6" s="10">
        <f t="shared" si="0"/>
        <v>45917</v>
      </c>
      <c r="U6" s="10">
        <f t="shared" si="0"/>
        <v>45918</v>
      </c>
      <c r="V6" s="10">
        <f t="shared" si="0"/>
        <v>45919</v>
      </c>
      <c r="W6" s="10">
        <f t="shared" si="0"/>
        <v>45920</v>
      </c>
      <c r="X6" s="10">
        <f t="shared" si="0"/>
        <v>45921</v>
      </c>
      <c r="Y6" s="10">
        <f t="shared" si="0"/>
        <v>45922</v>
      </c>
      <c r="Z6" s="10">
        <f t="shared" si="0"/>
        <v>45923</v>
      </c>
      <c r="AA6" s="10">
        <f t="shared" si="0"/>
        <v>45924</v>
      </c>
      <c r="AB6" s="10">
        <f t="shared" si="0"/>
        <v>45925</v>
      </c>
      <c r="AC6" s="10">
        <f t="shared" si="0"/>
        <v>45926</v>
      </c>
      <c r="AD6" s="10">
        <f t="shared" si="0"/>
        <v>45927</v>
      </c>
      <c r="AE6" s="10">
        <f t="shared" si="0"/>
        <v>45928</v>
      </c>
      <c r="AF6" s="10">
        <f t="shared" si="0"/>
        <v>45929</v>
      </c>
      <c r="AG6" s="10">
        <f t="shared" si="0"/>
        <v>45930</v>
      </c>
      <c r="AH6" s="10">
        <f t="shared" si="0"/>
        <v>45931</v>
      </c>
      <c r="AI6" s="22" t="s">
        <v>7</v>
      </c>
      <c r="AJ6" s="23" t="s">
        <v>8</v>
      </c>
    </row>
    <row r="7" s="1" customFormat="1" ht="30" customHeight="1" spans="1:36">
      <c r="A7" s="11"/>
      <c r="B7" s="11"/>
      <c r="C7" s="11"/>
      <c r="D7" s="12">
        <f>IF(WEEKDAY(D6)=1,"CN",WEEKDAY(D6))</f>
        <v>2</v>
      </c>
      <c r="E7" s="12">
        <f t="shared" ref="E7:AH22" si="1">IF(WEEKDAY(E6)=1,"CN",WEEKDAY(E6))</f>
        <v>3</v>
      </c>
      <c r="F7" s="12">
        <f t="shared" si="1"/>
        <v>4</v>
      </c>
      <c r="G7" s="12">
        <f t="shared" si="1"/>
        <v>5</v>
      </c>
      <c r="H7" s="12">
        <f t="shared" si="1"/>
        <v>6</v>
      </c>
      <c r="I7" s="12">
        <f t="shared" si="1"/>
        <v>7</v>
      </c>
      <c r="J7" s="12" t="str">
        <f t="shared" si="1"/>
        <v>CN</v>
      </c>
      <c r="K7" s="12">
        <f t="shared" si="1"/>
        <v>2</v>
      </c>
      <c r="L7" s="12">
        <f t="shared" si="1"/>
        <v>3</v>
      </c>
      <c r="M7" s="12">
        <f t="shared" si="1"/>
        <v>4</v>
      </c>
      <c r="N7" s="12">
        <f t="shared" si="1"/>
        <v>5</v>
      </c>
      <c r="O7" s="12">
        <f t="shared" si="1"/>
        <v>6</v>
      </c>
      <c r="P7" s="12">
        <f t="shared" si="1"/>
        <v>7</v>
      </c>
      <c r="Q7" s="12" t="str">
        <f t="shared" si="1"/>
        <v>CN</v>
      </c>
      <c r="R7" s="12">
        <f t="shared" si="1"/>
        <v>2</v>
      </c>
      <c r="S7" s="12">
        <f t="shared" si="1"/>
        <v>3</v>
      </c>
      <c r="T7" s="12">
        <f t="shared" si="1"/>
        <v>4</v>
      </c>
      <c r="U7" s="12">
        <f t="shared" si="1"/>
        <v>5</v>
      </c>
      <c r="V7" s="12">
        <f t="shared" si="1"/>
        <v>6</v>
      </c>
      <c r="W7" s="12">
        <f t="shared" si="1"/>
        <v>7</v>
      </c>
      <c r="X7" s="12" t="str">
        <f t="shared" si="1"/>
        <v>CN</v>
      </c>
      <c r="Y7" s="12">
        <f t="shared" si="1"/>
        <v>2</v>
      </c>
      <c r="Z7" s="12">
        <f t="shared" si="1"/>
        <v>3</v>
      </c>
      <c r="AA7" s="12">
        <f t="shared" si="1"/>
        <v>4</v>
      </c>
      <c r="AB7" s="12">
        <f t="shared" si="1"/>
        <v>5</v>
      </c>
      <c r="AC7" s="12">
        <f t="shared" si="1"/>
        <v>6</v>
      </c>
      <c r="AD7" s="12">
        <f t="shared" si="1"/>
        <v>7</v>
      </c>
      <c r="AE7" s="12" t="str">
        <f t="shared" si="1"/>
        <v>CN</v>
      </c>
      <c r="AF7" s="12">
        <f t="shared" si="1"/>
        <v>2</v>
      </c>
      <c r="AG7" s="12">
        <f t="shared" si="1"/>
        <v>3</v>
      </c>
      <c r="AH7" s="12">
        <f t="shared" si="1"/>
        <v>4</v>
      </c>
      <c r="AI7" s="22"/>
      <c r="AJ7" s="23"/>
    </row>
    <row r="8" spans="1:36">
      <c r="A8" s="13">
        <v>1</v>
      </c>
      <c r="B8" s="13" t="s">
        <v>9</v>
      </c>
      <c r="C8" s="14" t="s">
        <v>10</v>
      </c>
      <c r="D8" s="15"/>
      <c r="E8" s="15"/>
      <c r="F8" s="15"/>
      <c r="G8" s="15"/>
      <c r="H8" s="15"/>
      <c r="I8" s="15"/>
      <c r="J8" s="19"/>
      <c r="K8" s="20" t="s">
        <v>11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13"/>
      <c r="AJ8" s="13"/>
    </row>
    <row r="9" spans="1:36">
      <c r="A9" s="13">
        <v>2</v>
      </c>
      <c r="B9" s="13" t="s">
        <v>12</v>
      </c>
      <c r="C9" s="14" t="s">
        <v>13</v>
      </c>
      <c r="D9" s="15"/>
      <c r="E9" s="15"/>
      <c r="F9" s="15"/>
      <c r="G9" s="15"/>
      <c r="H9" s="15"/>
      <c r="I9" s="15"/>
      <c r="J9" s="1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13"/>
      <c r="AJ9" s="13"/>
    </row>
    <row r="10" spans="1:36">
      <c r="A10" s="13">
        <v>3</v>
      </c>
      <c r="B10" s="13" t="s">
        <v>14</v>
      </c>
      <c r="C10" s="14" t="s">
        <v>13</v>
      </c>
      <c r="D10" s="15"/>
      <c r="E10" s="15"/>
      <c r="F10" s="15"/>
      <c r="G10" s="15"/>
      <c r="H10" s="15"/>
      <c r="I10" s="15"/>
      <c r="J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13"/>
      <c r="AJ10" s="13"/>
    </row>
    <row r="11" spans="1:36">
      <c r="A11" s="13">
        <v>4</v>
      </c>
      <c r="B11" s="13" t="s">
        <v>15</v>
      </c>
      <c r="C11" s="14" t="s">
        <v>16</v>
      </c>
      <c r="D11" s="15"/>
      <c r="E11" s="15"/>
      <c r="F11" s="15"/>
      <c r="G11" s="15"/>
      <c r="H11" s="15"/>
      <c r="I11" s="15"/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3"/>
      <c r="AJ11" s="13"/>
    </row>
    <row r="12" spans="1:36">
      <c r="A12" s="13">
        <v>5</v>
      </c>
      <c r="B12" s="13" t="s">
        <v>17</v>
      </c>
      <c r="C12" s="14" t="s">
        <v>16</v>
      </c>
      <c r="D12" s="15"/>
      <c r="E12" s="15"/>
      <c r="F12" s="15"/>
      <c r="G12" s="15"/>
      <c r="H12" s="15"/>
      <c r="I12" s="15"/>
      <c r="J12" s="1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3"/>
      <c r="AJ12" s="13"/>
    </row>
    <row r="13" spans="1:36">
      <c r="A13" s="13">
        <v>6</v>
      </c>
      <c r="B13" s="13" t="s">
        <v>18</v>
      </c>
      <c r="C13" s="14" t="s">
        <v>16</v>
      </c>
      <c r="D13" s="15"/>
      <c r="E13" s="15"/>
      <c r="F13" s="15"/>
      <c r="G13" s="15"/>
      <c r="H13" s="15"/>
      <c r="I13" s="15"/>
      <c r="J13" s="1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3"/>
      <c r="AJ13" s="13"/>
    </row>
    <row r="14" spans="1:36">
      <c r="A14" s="13">
        <v>7</v>
      </c>
      <c r="B14" s="13" t="s">
        <v>19</v>
      </c>
      <c r="C14" s="14" t="s">
        <v>16</v>
      </c>
      <c r="D14" s="15"/>
      <c r="E14" s="15"/>
      <c r="F14" s="15"/>
      <c r="G14" s="15"/>
      <c r="H14" s="15"/>
      <c r="I14" s="15"/>
      <c r="J14" s="1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3"/>
      <c r="AJ14" s="13"/>
    </row>
    <row r="15" spans="1:36">
      <c r="A15" s="13">
        <v>8</v>
      </c>
      <c r="B15" s="13" t="s">
        <v>20</v>
      </c>
      <c r="C15" s="14" t="s">
        <v>16</v>
      </c>
      <c r="D15" s="15"/>
      <c r="E15" s="15"/>
      <c r="F15" s="15"/>
      <c r="G15" s="15"/>
      <c r="H15" s="15"/>
      <c r="I15" s="15"/>
      <c r="J15" s="1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3"/>
      <c r="AJ15" s="13"/>
    </row>
    <row r="16" spans="1:36">
      <c r="A16" s="13">
        <v>9</v>
      </c>
      <c r="B16" s="13" t="s">
        <v>21</v>
      </c>
      <c r="C16" s="14" t="s">
        <v>16</v>
      </c>
      <c r="D16" s="15"/>
      <c r="E16" s="15"/>
      <c r="F16" s="15"/>
      <c r="G16" s="15"/>
      <c r="H16" s="15"/>
      <c r="I16" s="15"/>
      <c r="J16" s="1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3"/>
      <c r="AJ16" s="13"/>
    </row>
    <row r="17" spans="1:36">
      <c r="A17" s="13">
        <v>10</v>
      </c>
      <c r="B17" s="13" t="s">
        <v>22</v>
      </c>
      <c r="C17" s="14" t="s">
        <v>16</v>
      </c>
      <c r="D17" s="15"/>
      <c r="E17" s="15"/>
      <c r="F17" s="15"/>
      <c r="G17" s="15"/>
      <c r="H17" s="15"/>
      <c r="I17" s="15"/>
      <c r="J17" s="1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3"/>
      <c r="AJ17" s="13"/>
    </row>
    <row r="18" spans="1:36">
      <c r="A18" s="13">
        <v>11</v>
      </c>
      <c r="B18" s="13" t="s">
        <v>23</v>
      </c>
      <c r="C18" s="14" t="s">
        <v>16</v>
      </c>
      <c r="D18" s="15"/>
      <c r="E18" s="15"/>
      <c r="F18" s="15"/>
      <c r="G18" s="15"/>
      <c r="H18" s="15"/>
      <c r="I18" s="15"/>
      <c r="J18" s="1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3"/>
      <c r="AJ18" s="13"/>
    </row>
    <row r="19" spans="1:36">
      <c r="A19" s="13">
        <v>12</v>
      </c>
      <c r="B19" s="13" t="s">
        <v>24</v>
      </c>
      <c r="C19" s="14" t="s">
        <v>16</v>
      </c>
      <c r="D19" s="15"/>
      <c r="E19" s="15"/>
      <c r="F19" s="15"/>
      <c r="G19" s="15"/>
      <c r="H19" s="15"/>
      <c r="I19" s="15"/>
      <c r="J19" s="1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3"/>
      <c r="AJ19" s="13"/>
    </row>
    <row r="20" spans="1:36">
      <c r="A20" s="13">
        <v>13</v>
      </c>
      <c r="B20" s="13" t="s">
        <v>25</v>
      </c>
      <c r="C20" s="14" t="s">
        <v>16</v>
      </c>
      <c r="D20" s="15"/>
      <c r="E20" s="15"/>
      <c r="F20" s="15"/>
      <c r="G20" s="15"/>
      <c r="H20" s="15"/>
      <c r="I20" s="15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3"/>
      <c r="AJ20" s="13"/>
    </row>
    <row r="21" spans="1:36">
      <c r="A21" s="13">
        <v>14</v>
      </c>
      <c r="B21" s="13" t="s">
        <v>26</v>
      </c>
      <c r="C21" s="14" t="s">
        <v>16</v>
      </c>
      <c r="D21" s="15"/>
      <c r="E21" s="15"/>
      <c r="F21" s="15"/>
      <c r="G21" s="15"/>
      <c r="H21" s="15"/>
      <c r="I21" s="15"/>
      <c r="J21" s="1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3"/>
      <c r="AJ21" s="13"/>
    </row>
    <row r="22" spans="1:36">
      <c r="A22" s="13">
        <v>15</v>
      </c>
      <c r="B22" s="13" t="s">
        <v>27</v>
      </c>
      <c r="C22" s="14" t="s">
        <v>28</v>
      </c>
      <c r="D22" s="15"/>
      <c r="E22" s="15"/>
      <c r="F22" s="15"/>
      <c r="G22" s="15"/>
      <c r="H22" s="15"/>
      <c r="I22" s="15"/>
      <c r="J22" s="19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3"/>
      <c r="AJ22" s="13"/>
    </row>
    <row r="23" spans="1:36">
      <c r="A23" s="13">
        <v>16</v>
      </c>
      <c r="B23" s="13" t="s">
        <v>29</v>
      </c>
      <c r="C23" s="14" t="s">
        <v>28</v>
      </c>
      <c r="D23" s="15"/>
      <c r="E23" s="15"/>
      <c r="F23" s="15"/>
      <c r="G23" s="15"/>
      <c r="H23" s="15"/>
      <c r="I23" s="15"/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3"/>
      <c r="AJ23" s="13"/>
    </row>
    <row r="24" spans="1:36">
      <c r="A24" s="16">
        <v>17</v>
      </c>
      <c r="B24" s="16" t="s">
        <v>30</v>
      </c>
      <c r="C24" s="14" t="s">
        <v>28</v>
      </c>
      <c r="D24" s="17"/>
      <c r="E24" s="17"/>
      <c r="F24" s="17"/>
      <c r="G24" s="17"/>
      <c r="H24" s="17"/>
      <c r="I24" s="17"/>
      <c r="J24" s="2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</sheetData>
  <mergeCells count="9">
    <mergeCell ref="A1:B1"/>
    <mergeCell ref="C2:AK2"/>
    <mergeCell ref="G4:H4"/>
    <mergeCell ref="I4:J4"/>
    <mergeCell ref="A6:A7"/>
    <mergeCell ref="B6:B7"/>
    <mergeCell ref="C6:C7"/>
    <mergeCell ref="AI6:AI7"/>
    <mergeCell ref="AJ6:AJ7"/>
  </mergeCells>
  <conditionalFormatting sqref="D7:AH23">
    <cfRule type="expression" dxfId="0" priority="2">
      <formula>WEEKDAY(D$7)=1</formula>
    </cfRule>
    <cfRule type="containsText" dxfId="1" priority="3" operator="between" text="CN">
      <formula>NOT(ISERROR(SEARCH("CN",D7)))</formula>
    </cfRule>
  </conditionalFormatting>
  <conditionalFormatting sqref="D8:AH23">
    <cfRule type="expression" dxfId="0" priority="1">
      <formula>WEEKDAY(DS8)=1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Nguyễn Thị Bích Ngọc</cp:lastModifiedBy>
  <dcterms:created xsi:type="dcterms:W3CDTF">2025-09-03T08:01:00Z</dcterms:created>
  <dcterms:modified xsi:type="dcterms:W3CDTF">2025-09-16T08:52:34Z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3B714BE139F2486485E8A64A0FE676ED_12</vt:lpwstr>
  </property>
  <property fmtid="{D5CDD505-2E9C-101B-9397-08002B2CF9AE}" pid="3" name="KSOProductBuildVer">
    <vt:lpwstr>1033-12.2.0.22549</vt:lpwstr>
  </property>
</Properties>
</file>